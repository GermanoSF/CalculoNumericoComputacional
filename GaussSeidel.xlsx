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FAC0996E-62A9-4A98-A24D-DCF3079933DE}" xr6:coauthVersionLast="47" xr6:coauthVersionMax="47" xr10:uidLastSave="{00000000-0000-0000-0000-000000000000}"/>
  <bookViews>
    <workbookView xWindow="-120" yWindow="-120" windowWidth="29040" windowHeight="15720" xr2:uid="{DD6ECA70-35E6-4B74-836E-C10DBBB936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 a="1"/>
  <c r="F3" i="1" s="1"/>
  <c r="G3" i="1" s="1"/>
  <c r="B3" i="1" l="1"/>
  <c r="A3" i="1"/>
  <c r="C3" i="1" l="1"/>
  <c r="D3" i="1" s="1"/>
  <c r="E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<sst xmlns="http://schemas.openxmlformats.org/spreadsheetml/2006/main" count="13" uniqueCount="9">
  <si>
    <t>k</t>
  </si>
  <si>
    <t>x1</t>
  </si>
  <si>
    <t>x2</t>
  </si>
  <si>
    <t>x4</t>
  </si>
  <si>
    <t>x3</t>
  </si>
  <si>
    <t>ERRO</t>
  </si>
  <si>
    <t>PARADA</t>
  </si>
  <si>
    <t>K</t>
  </si>
  <si>
    <t>ERROMETA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</si>
</sst>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EF9F-B354-469B-A95B-B84C80E5E5A1}">
  <dimension ref="A1:O5"/>
  <sheetViews>
    <sheetView tabSelected="1" workbookViewId="0">
      <selection activeCell="F4" sqref="F4"/>
    </sheetView>
  </sheetViews>
  <sheetFormatPr defaultRowHeight="15" x14ac:dyDescent="0.25"/>
  <cols>
    <col min="9" max="9" width="11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I1" t="s">
        <v>8</v>
      </c>
      <c r="K1" t="s">
        <v>1</v>
      </c>
      <c r="L1" t="s">
        <v>2</v>
      </c>
      <c r="M1" t="s">
        <v>4</v>
      </c>
      <c r="N1" t="s">
        <v>3</v>
      </c>
      <c r="O1" t="s">
        <v>7</v>
      </c>
    </row>
    <row r="2" spans="1:15" x14ac:dyDescent="0.25">
      <c r="A2">
        <v>0</v>
      </c>
      <c r="B2">
        <v>0</v>
      </c>
      <c r="C2">
        <v>0</v>
      </c>
      <c r="D2">
        <v>0</v>
      </c>
      <c r="E2">
        <v>0</v>
      </c>
      <c r="I2">
        <v>1E-3</v>
      </c>
      <c r="K2">
        <v>10</v>
      </c>
      <c r="L2">
        <v>-1</v>
      </c>
      <c r="M2">
        <v>-2</v>
      </c>
      <c r="N2">
        <v>0</v>
      </c>
      <c r="O2">
        <v>6</v>
      </c>
    </row>
    <row r="3" spans="1:15" x14ac:dyDescent="0.25">
      <c r="A3">
        <f>A2+1</f>
        <v>1</v>
      </c>
      <c r="B3">
        <f>(O$2-(L$2*C2)-(M$2*D2)-(N$2*E2))/K$2</f>
        <v>0.6</v>
      </c>
      <c r="C3">
        <f>(O$3-(K$3*B3)-(M$3*D2)-(N$3*E2))/L$3</f>
        <v>2.2181818181818183</v>
      </c>
      <c r="D3">
        <f>(O$4-K$4*B3-L$4*C3-N$4*E2)/M$4</f>
        <v>-1.2018181818181819</v>
      </c>
      <c r="E3">
        <f>(O$5-K$5*B3-L$5*C3-M$5*D3)/N$5</f>
        <v>2.8570454545454549</v>
      </c>
      <c r="F3" cm="1">
        <f t="array" ref="F3">_xlfn.IFS(AND(ABS(B3-B2)&gt;ABS(C3-C2),ABS(B3-B2)&gt;ABS(D3-D2),ABS(B3-B2)&gt;ABS(E3-E2)),ABS(B3-B2),AND(ABS(C3-C2)&gt;ABS(D3-D2),ABS(C3-C2)&gt;ABS(E3-E2)),ABS(C3-C2),ABS(D3-D2)&gt;ABS(E3-E2),ABS(D3-D2),1=1,ABS(E3-E4))</f>
        <v>2.8570454545454549</v>
      </c>
      <c r="G3">
        <f>IF(F3&lt;I$2,"X",)</f>
        <v>0</v>
      </c>
      <c r="K3">
        <v>1</v>
      </c>
      <c r="L3">
        <v>11</v>
      </c>
      <c r="M3">
        <v>1</v>
      </c>
      <c r="N3">
        <v>-3</v>
      </c>
      <c r="O3">
        <v>25</v>
      </c>
    </row>
    <row r="4" spans="1:15" x14ac:dyDescent="0.25">
      <c r="K4">
        <v>-2</v>
      </c>
      <c r="L4">
        <v>1</v>
      </c>
      <c r="M4">
        <v>10</v>
      </c>
      <c r="N4">
        <v>1</v>
      </c>
      <c r="O4">
        <v>-11</v>
      </c>
    </row>
    <row r="5" spans="1:15" x14ac:dyDescent="0.25">
      <c r="K5">
        <v>0</v>
      </c>
      <c r="L5">
        <v>-3</v>
      </c>
      <c r="M5">
        <v>1</v>
      </c>
      <c r="N5">
        <v>8</v>
      </c>
      <c r="O5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2026-03-31T13:12:01Z</dcterms:created>
  <dcterms:modified xsi:type="dcterms:W3CDTF">2026-03-31T14:04:41Z</dcterms:modified>
</cp:coreProperties>
</file>