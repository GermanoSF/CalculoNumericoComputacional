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pal\Downloads\"/>
    </mc:Choice>
  </mc:AlternateContent>
  <xr:revisionPtr revIDLastSave="0" documentId="13_ncr:1_{874F49C5-F514-4D73-BF75-AE26A07CDB45}" xr6:coauthVersionLast="47" xr6:coauthVersionMax="47" xr10:uidLastSave="{00000000-0000-0000-0000-000000000000}"/>
  <bookViews>
    <workbookView xWindow="-120" yWindow="-120" windowWidth="29040" windowHeight="15720" xr2:uid="{99F9D560-5243-4F3B-8F9C-5E9F4B7742D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 a="1"/>
  <c r="G3" i="1" a="1"/>
  <c r="F3" i="1" a="1"/>
  <c r="C3" i="1" a="1"/>
  <c r="E3" i="1" a="1"/>
  <c r="E3" i="1" l="1"/>
  <c r="C3" i="1"/>
  <c r="F3" i="1"/>
  <c r="G3" i="1"/>
  <c r="D3" i="1"/>
  <c r="A3" i="1" a="1"/>
  <c r="A3" i="1" l="1"/>
  <c r="H3" i="1" a="1"/>
  <c r="H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<sst xmlns="http://schemas.openxmlformats.org/spreadsheetml/2006/main" count="39" uniqueCount="14">
  <si>
    <t>x1</t>
  </si>
  <si>
    <t>x2</t>
  </si>
  <si>
    <t>x4</t>
  </si>
  <si>
    <t>x3</t>
  </si>
  <si>
    <t>Erro</t>
  </si>
  <si>
    <t>k</t>
  </si>
  <si>
    <t>UM</t>
  </si>
  <si>
    <t>Multiplica</t>
  </si>
  <si>
    <t>Divide</t>
  </si>
  <si>
    <t>DOIS</t>
  </si>
  <si>
    <t>TRES</t>
  </si>
  <si>
    <t>QUATRO</t>
  </si>
  <si>
    <t>constante</t>
  </si>
  <si>
    <t>ERROMETA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</si>
</sst>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0D7A1-F2F8-4EA4-BCA1-13BB3D832BBA}">
  <dimension ref="A1:Z7"/>
  <sheetViews>
    <sheetView tabSelected="1" workbookViewId="0">
      <selection activeCell="A4" sqref="A4"/>
    </sheetView>
  </sheetViews>
  <sheetFormatPr defaultRowHeight="15" x14ac:dyDescent="0.25"/>
  <cols>
    <col min="8" max="8" width="18.7109375" customWidth="1"/>
    <col min="11" max="11" width="9.85546875" customWidth="1"/>
    <col min="15" max="15" width="9.7109375" customWidth="1"/>
    <col min="19" max="19" width="10.140625" customWidth="1"/>
    <col min="23" max="23" width="9.7109375" customWidth="1"/>
    <col min="26" max="26" width="10.28515625" customWidth="1"/>
  </cols>
  <sheetData>
    <row r="1" spans="1:26" x14ac:dyDescent="0.25">
      <c r="C1" t="s">
        <v>5</v>
      </c>
      <c r="D1" t="s">
        <v>0</v>
      </c>
      <c r="E1" t="s">
        <v>1</v>
      </c>
      <c r="F1" t="s">
        <v>3</v>
      </c>
      <c r="G1" t="s">
        <v>2</v>
      </c>
      <c r="H1" t="s">
        <v>4</v>
      </c>
      <c r="J1" t="s">
        <v>6</v>
      </c>
      <c r="K1" t="s">
        <v>7</v>
      </c>
      <c r="L1" t="s">
        <v>8</v>
      </c>
      <c r="N1" t="s">
        <v>9</v>
      </c>
      <c r="O1" t="s">
        <v>7</v>
      </c>
      <c r="P1" t="s">
        <v>8</v>
      </c>
      <c r="R1" t="s">
        <v>10</v>
      </c>
      <c r="S1" t="s">
        <v>7</v>
      </c>
      <c r="T1" t="s">
        <v>8</v>
      </c>
      <c r="V1" t="s">
        <v>11</v>
      </c>
      <c r="W1" t="s">
        <v>7</v>
      </c>
      <c r="X1" t="s">
        <v>8</v>
      </c>
      <c r="Z1" t="s">
        <v>13</v>
      </c>
    </row>
    <row r="2" spans="1:26" x14ac:dyDescent="0.25">
      <c r="C2">
        <v>0</v>
      </c>
      <c r="D2">
        <v>0</v>
      </c>
      <c r="E2">
        <v>0</v>
      </c>
      <c r="F2">
        <v>0</v>
      </c>
      <c r="G2">
        <v>0</v>
      </c>
      <c r="J2" t="s">
        <v>0</v>
      </c>
      <c r="L2">
        <v>10</v>
      </c>
      <c r="N2" t="s">
        <v>0</v>
      </c>
      <c r="O2">
        <v>1</v>
      </c>
      <c r="R2" t="s">
        <v>0</v>
      </c>
      <c r="S2">
        <v>-2</v>
      </c>
      <c r="V2" t="s">
        <v>0</v>
      </c>
      <c r="W2">
        <v>0</v>
      </c>
      <c r="Z2">
        <v>1E-3</v>
      </c>
    </row>
    <row r="3" spans="1:26" x14ac:dyDescent="0.25">
      <c r="A3" cm="1">
        <f t="array" aca="1" ref="A3" ca="1">_xlfn.IFS(AND(ABS(INDIRECT("D"&amp;ROW())-INDIRECT("D"&amp;ROW()-1))&gt;=ABS(INDIRECT("E"&amp;ROW())-INDIRECT("E"&amp;ROW()-1)),ABS(INDIRECT("D"&amp;ROW())-INDIRECT("D"&amp;ROW()-1))&gt;=ABS(INDIRECT("F"&amp;ROW())-INDIRECT("F"&amp;ROW()-1)),ABS(INDIRECT("D"&amp;ROW())-INDIRECT("D"&amp;ROW()-1))&gt;=ABS(INDIRECT("G"&amp;ROW())-INDIRECT("G"&amp;ROW()-1))),ABS(INDIRECT("D"&amp;ROW())-INDIRECT("D"&amp;ROW()-1)),AND(ABS(INDIRECT("E"&amp;ROW())-INDIRECT("E"&amp;ROW()-1))&gt;=ABS(INDIRECT("F"&amp;ROW())-INDIRECT("F"&amp;ROW()-1)),ABS(INDIRECT("E"&amp;ROW())-INDIRECT("E"&amp;ROW()-1))&gt;=ABS(INDIRECT("G"&amp;ROW())-INDIRECT("G"&amp;ROW()-1))),ABS(INDIRECT("E"&amp;ROW())-INDIRECT("E"&amp;ROW()-1)),ABS(INDIRECT("F"&amp;ROW())-INDIRECT("F"&amp;ROW()-1))&gt;=ABS(INDIRECT("G"&amp;ROW())-INDIRECT("G"&amp;ROW()-1)),ABS(INDIRECT("F"&amp;ROW())-INDIRECT("F"&amp;ROW()-1)),1=1,ABS(INDIRECT("G"&amp;ROW())-INDIRECT("G"&amp;ROW()-1)))</f>
        <v>2.2727272727272729</v>
      </c>
      <c r="C3" cm="1">
        <f t="array" aca="1" ref="C3" ca="1">INDIRECT("C"&amp;ROW()-1)+1</f>
        <v>1</v>
      </c>
      <c r="D3" cm="1">
        <f t="array" aca="1" ref="D3" ca="1">(L$7+K$3*INDIRECT("E"&amp;ROW()-1)+K$4*INDIRECT("F"&amp;ROW()-1)+K$5*INDIRECT("G"&amp;ROW()-1))/L$2</f>
        <v>0.6</v>
      </c>
      <c r="E3" cm="1">
        <f t="array" aca="1" ref="E3" ca="1">(P$7+O$2*INDIRECT("D"&amp;ROW()-1)+O$4*INDIRECT("F"&amp;ROW()-1)+O$5*INDIRECT("G"&amp;ROW()-1))/P$3</f>
        <v>2.2727272727272729</v>
      </c>
      <c r="F3" cm="1">
        <f t="array" aca="1" ref="F3" ca="1">(T$7+S$2*INDIRECT("D"&amp;ROW()-1)+S$3*INDIRECT("E"&amp;ROW()-1)+S$5*INDIRECT("G"&amp;ROW()-1))/T$4</f>
        <v>-1.1000000000000001</v>
      </c>
      <c r="G3" cm="1">
        <f t="array" aca="1" ref="G3" ca="1">(X$7+W$2*INDIRECT("D"&amp;ROW()-1)+W$3*INDIRECT("E"&amp;ROW()-1)+W$4*INDIRECT("F"&amp;ROW()-1))/X$5</f>
        <v>1.875</v>
      </c>
      <c r="H3" cm="1">
        <f t="array" aca="1" ref="H3" ca="1">IF(INDIRECT("A"&amp;ROW())&lt;Z$2,INDIRECT("A"&amp;ROW())&amp;"-PARADA",INDIRECT("A"&amp;ROW()))</f>
        <v>2.2727272727272729</v>
      </c>
      <c r="J3" t="s">
        <v>1</v>
      </c>
      <c r="K3">
        <v>-1</v>
      </c>
      <c r="N3" t="s">
        <v>1</v>
      </c>
      <c r="P3">
        <v>11</v>
      </c>
      <c r="R3" t="s">
        <v>1</v>
      </c>
      <c r="S3">
        <v>1</v>
      </c>
      <c r="V3" t="s">
        <v>1</v>
      </c>
      <c r="W3">
        <v>-3</v>
      </c>
    </row>
    <row r="4" spans="1:26" x14ac:dyDescent="0.25">
      <c r="J4" t="s">
        <v>3</v>
      </c>
      <c r="K4">
        <v>-2</v>
      </c>
      <c r="N4" t="s">
        <v>3</v>
      </c>
      <c r="O4">
        <v>1</v>
      </c>
      <c r="R4" t="s">
        <v>3</v>
      </c>
      <c r="T4">
        <v>10</v>
      </c>
      <c r="V4" t="s">
        <v>3</v>
      </c>
      <c r="W4">
        <v>1</v>
      </c>
    </row>
    <row r="5" spans="1:26" x14ac:dyDescent="0.25">
      <c r="J5" t="s">
        <v>2</v>
      </c>
      <c r="K5">
        <v>0</v>
      </c>
      <c r="N5" t="s">
        <v>2</v>
      </c>
      <c r="O5">
        <v>-3</v>
      </c>
      <c r="R5" t="s">
        <v>2</v>
      </c>
      <c r="S5">
        <v>1</v>
      </c>
      <c r="V5" t="s">
        <v>2</v>
      </c>
      <c r="X5">
        <v>8</v>
      </c>
    </row>
    <row r="6" spans="1:26" x14ac:dyDescent="0.25">
      <c r="L6" t="s">
        <v>12</v>
      </c>
      <c r="P6" t="s">
        <v>12</v>
      </c>
      <c r="T6" t="s">
        <v>12</v>
      </c>
      <c r="X6" t="s">
        <v>12</v>
      </c>
    </row>
    <row r="7" spans="1:26" x14ac:dyDescent="0.25">
      <c r="L7">
        <v>6</v>
      </c>
      <c r="P7">
        <v>25</v>
      </c>
      <c r="T7">
        <v>-11</v>
      </c>
      <c r="X7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Universidade Franciscana - UFN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Laboratório</dc:creator>
  <cp:lastModifiedBy>Germano Spall Figueira</cp:lastModifiedBy>
  <dcterms:created xsi:type="dcterms:W3CDTF">2026-03-25T15:40:29Z</dcterms:created>
  <dcterms:modified xsi:type="dcterms:W3CDTF">2026-03-26T00:35:43Z</dcterms:modified>
</cp:coreProperties>
</file>